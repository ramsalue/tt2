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a\Documents\TT2_documentacion\"/>
    </mc:Choice>
  </mc:AlternateContent>
  <xr:revisionPtr revIDLastSave="0" documentId="13_ncr:1_{C2F58E0C-1D5A-480A-8DD4-D21755600F71}" xr6:coauthVersionLast="47" xr6:coauthVersionMax="47" xr10:uidLastSave="{00000000-0000-0000-0000-000000000000}"/>
  <bookViews>
    <workbookView xWindow="-108" yWindow="-108" windowWidth="23256" windowHeight="13896" xr2:uid="{D6DF332C-8859-4486-B9D5-007A79243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10" i="1"/>
  <c r="I9" i="1"/>
  <c r="F8" i="1"/>
  <c r="F11" i="1" s="1"/>
  <c r="J11" i="1" l="1"/>
  <c r="J12" i="1"/>
  <c r="J9" i="1"/>
  <c r="J10" i="1"/>
</calcChain>
</file>

<file path=xl/sharedStrings.xml><?xml version="1.0" encoding="utf-8"?>
<sst xmlns="http://schemas.openxmlformats.org/spreadsheetml/2006/main" count="23" uniqueCount="21">
  <si>
    <t>GASTOS REALIZADOS</t>
  </si>
  <si>
    <t>Cantidad</t>
  </si>
  <si>
    <t>Concepto</t>
  </si>
  <si>
    <t>GASTO ACUMULADO</t>
  </si>
  <si>
    <t>¿Quién pagó?</t>
  </si>
  <si>
    <t>Pantalla</t>
  </si>
  <si>
    <t>INTEGRANTES</t>
  </si>
  <si>
    <t>Diego Esaú</t>
  </si>
  <si>
    <t>Sebastián</t>
  </si>
  <si>
    <t>Alberto</t>
  </si>
  <si>
    <t>Luis Enrique</t>
  </si>
  <si>
    <t>Motor</t>
  </si>
  <si>
    <t>DISTRIBUCIÓN DE GASTOS</t>
  </si>
  <si>
    <t>Integrante</t>
  </si>
  <si>
    <t>¿Cuánto ha aportado cada uno?</t>
  </si>
  <si>
    <t>¿CUÁNTO CORRESPONDE A CADA INTEGRANTE?</t>
  </si>
  <si>
    <t>Variación</t>
  </si>
  <si>
    <t>SIMBOLOGÍA</t>
  </si>
  <si>
    <t>Se le debe reembolsar dinero</t>
  </si>
  <si>
    <t>Debe aportar dinero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</si>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</sst>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44" fontId="0" fillId="0" borderId="0" xfId="0" applyNumberFormat="1"/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0" borderId="0" xfId="0" applyFont="1" applyFill="1" applyAlignment="1"/>
    <xf numFmtId="0" fontId="2" fillId="0" borderId="0" xfId="0" applyFont="1" applyAlignment="1">
      <alignment horizontal="center" vertical="center"/>
    </xf>
    <xf numFmtId="44" fontId="0" fillId="4" borderId="0" xfId="0" applyNumberFormat="1" applyFill="1" applyAlignment="1">
      <alignment vertical="center"/>
    </xf>
    <xf numFmtId="44" fontId="0" fillId="4" borderId="0" xfId="0" applyNumberFormat="1" applyFill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4">
    <dxf>
      <fill>
        <patternFill>
          <bgColor rgb="FFFF9966"/>
        </patternFill>
      </fill>
    </dxf>
    <dxf>
      <fill>
        <patternFill>
          <bgColor theme="9" tint="0.5999633777886288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A833"/>
      <color rgb="FFFFCC66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5</xdr:col>
      <xdr:colOff>2750820</xdr:colOff>
      <xdr:row>4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AFD29A-BEDD-B48B-5E42-0439FC44202B}"/>
            </a:ext>
          </a:extLst>
        </xdr:cNvPr>
        <xdr:cNvSpPr txBox="1"/>
      </xdr:nvSpPr>
      <xdr:spPr>
        <a:xfrm>
          <a:off x="0" y="7620"/>
          <a:ext cx="6423660" cy="861060"/>
        </a:xfrm>
        <a:prstGeom prst="rect">
          <a:avLst/>
        </a:prstGeom>
        <a:solidFill>
          <a:srgbClr val="FFA833"/>
        </a:solidFill>
        <a:ln w="28575" cmpd="sng">
          <a:solidFill>
            <a:srgbClr val="FFA83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INSTRUCCIONES: Únicamente</a:t>
          </a:r>
          <a:r>
            <a:rPr lang="en-US" sz="1200" b="1" baseline="0">
              <a:solidFill>
                <a:schemeClr val="bg1"/>
              </a:solidFill>
            </a:rPr>
            <a:t> se edita la tabla de Gastos Realizados.</a:t>
          </a:r>
          <a:br>
            <a:rPr lang="en-US" sz="1200" b="1">
              <a:solidFill>
                <a:schemeClr val="bg1"/>
              </a:solidFill>
            </a:rPr>
          </a:br>
          <a:r>
            <a:rPr lang="en-US" sz="1200" b="1">
              <a:solidFill>
                <a:schemeClr val="bg1"/>
              </a:solidFill>
            </a:rPr>
            <a:t>--&gt; Se agrega</a:t>
          </a:r>
          <a:r>
            <a:rPr lang="en-US" sz="1200" b="1" baseline="0">
              <a:solidFill>
                <a:schemeClr val="bg1"/>
              </a:solidFill>
            </a:rPr>
            <a:t> el concepto del gasto. </a:t>
          </a:r>
        </a:p>
        <a:p>
          <a:r>
            <a:rPr lang="en-US" sz="1200" b="1" baseline="0">
              <a:solidFill>
                <a:schemeClr val="bg1"/>
              </a:solidFill>
            </a:rPr>
            <a:t>--&gt; La columna ¿Quién pagó?  cuenta con una lista de la cual se elige el integrante. </a:t>
          </a:r>
        </a:p>
        <a:p>
          <a:r>
            <a:rPr lang="en-US" sz="1200" b="1" baseline="0">
              <a:solidFill>
                <a:schemeClr val="bg1"/>
              </a:solidFill>
            </a:rPr>
            <a:t>--&gt; Se agrega la cantidad gastada.</a:t>
          </a:r>
        </a:p>
        <a:p>
          <a:endParaRPr lang="en-US" sz="11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751AB0-A984-4900-8F96-EA19371E1B17}" name="Table1" displayName="Table1" ref="A7:D20" totalsRowShown="0">
  <autoFilter ref="A7:D20" xr:uid="{73751AB0-A984-4900-8F96-EA19371E1B17}"/>
  <tableColumns count="4">
    <tableColumn id="4" xr3:uid="{513CBC57-7806-444F-859E-3E047B5B6AC6}" name="Fecha"/>
    <tableColumn id="1" xr3:uid="{9B21CE15-8245-485C-978B-78CF21CA4152}" name="Concepto"/>
    <tableColumn id="2" xr3:uid="{EBFB3492-3EC1-47B2-9962-1E381ADCEDF3}" name="¿Quién pagó?"/>
    <tableColumn id="3" xr3:uid="{7B9137B3-A668-4285-8DB5-1EDBCE25030E}" name="Cantidad" dataCellStyle="Currenc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A1B7CC-260A-44AD-BE9F-6D428642DB15}" name="Table2" displayName="Table2" ref="H8:J12" totalsRowShown="0">
  <autoFilter ref="H8:J12" xr:uid="{3EA1B7CC-260A-44AD-BE9F-6D428642DB15}"/>
  <tableColumns count="3">
    <tableColumn id="1" xr3:uid="{F9BA4176-8BDB-4087-A4A3-CEDC1EBF3EEE}" name="Integrante"/>
    <tableColumn id="2" xr3:uid="{E6456333-0792-439A-811E-0DAC2A6599C4}" name="¿Cuánto ha aportado cada uno?" dataDxfId="3" dataCellStyle="Currency"/>
    <tableColumn id="3" xr3:uid="{8036D61D-D644-4AF4-9F71-DB5F0CC5CE09}" name="Variación" dataDxfId="2">
      <calculatedColumnFormula>$F$11-I9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E947-F41A-4A1E-A3BE-8794F40DF126}">
  <dimension ref="A2:P20"/>
  <sheetViews>
    <sheetView tabSelected="1" workbookViewId="0">
      <selection activeCell="F19" sqref="F19"/>
    </sheetView>
  </sheetViews>
  <sheetFormatPr defaultRowHeight="14.4" x14ac:dyDescent="0.3"/>
  <cols>
    <col min="1" max="1" width="10.6640625" customWidth="1"/>
    <col min="2" max="2" width="13.6640625" customWidth="1"/>
    <col min="3" max="3" width="10.109375" customWidth="1"/>
    <col min="4" max="4" width="10.88671875" bestFit="1" customWidth="1"/>
    <col min="5" max="5" width="8.21875" customWidth="1"/>
    <col min="6" max="6" width="40.6640625" customWidth="1"/>
    <col min="7" max="7" width="3.77734375" customWidth="1"/>
    <col min="8" max="8" width="11.6640625" bestFit="1" customWidth="1"/>
    <col min="9" max="9" width="26.5546875" bestFit="1" customWidth="1"/>
    <col min="10" max="10" width="25.5546875" bestFit="1" customWidth="1"/>
  </cols>
  <sheetData>
    <row r="2" spans="1:16" x14ac:dyDescent="0.3">
      <c r="P2" t="s">
        <v>6</v>
      </c>
    </row>
    <row r="6" spans="1:16" x14ac:dyDescent="0.3">
      <c r="A6" s="2" t="s">
        <v>0</v>
      </c>
      <c r="B6" s="2"/>
      <c r="C6" s="2"/>
    </row>
    <row r="7" spans="1:16" x14ac:dyDescent="0.3">
      <c r="A7" t="s">
        <v>20</v>
      </c>
      <c r="B7" t="s">
        <v>2</v>
      </c>
      <c r="C7" t="s">
        <v>4</v>
      </c>
      <c r="D7" t="s">
        <v>1</v>
      </c>
      <c r="F7" s="4" t="s">
        <v>3</v>
      </c>
      <c r="H7" s="2" t="s">
        <v>12</v>
      </c>
      <c r="I7" s="2"/>
      <c r="J7" s="2"/>
    </row>
    <row r="8" spans="1:16" x14ac:dyDescent="0.3">
      <c r="B8" t="s">
        <v>5</v>
      </c>
      <c r="C8" t="s">
        <v>8</v>
      </c>
      <c r="D8" s="1">
        <v>5000</v>
      </c>
      <c r="F8" s="10">
        <f>SUM(Table1[Cantidad])</f>
        <v>11000</v>
      </c>
      <c r="H8" t="s">
        <v>13</v>
      </c>
      <c r="I8" t="s">
        <v>14</v>
      </c>
      <c r="J8" t="s">
        <v>16</v>
      </c>
    </row>
    <row r="9" spans="1:16" x14ac:dyDescent="0.3">
      <c r="B9" t="s">
        <v>11</v>
      </c>
      <c r="C9" t="s">
        <v>7</v>
      </c>
      <c r="D9" s="1">
        <v>6000</v>
      </c>
      <c r="H9" t="s">
        <v>7</v>
      </c>
      <c r="I9" s="1">
        <f>SUMIF(Table1[¿Quién pagó?],"Diego Esaú",Table1[Cantidad])</f>
        <v>6000</v>
      </c>
      <c r="J9" s="5">
        <f>$F$11-I9</f>
        <v>-3250</v>
      </c>
    </row>
    <row r="10" spans="1:16" x14ac:dyDescent="0.3">
      <c r="D10" s="1"/>
      <c r="F10" s="3" t="s">
        <v>15</v>
      </c>
      <c r="H10" t="s">
        <v>8</v>
      </c>
      <c r="I10" s="1">
        <f>SUMIF(Table1[¿Quién pagó?],"Sebastián",Table1[Cantidad])</f>
        <v>5000</v>
      </c>
      <c r="J10" s="5">
        <f>$F$11-I10</f>
        <v>-2250</v>
      </c>
    </row>
    <row r="11" spans="1:16" x14ac:dyDescent="0.3">
      <c r="D11" s="1"/>
      <c r="F11" s="11">
        <f>F8/4</f>
        <v>2750</v>
      </c>
      <c r="H11" t="s">
        <v>9</v>
      </c>
      <c r="I11" s="1">
        <f>SUMIF(Table1[¿Quién pagó?],"Alberto",Table1[Cantidad])</f>
        <v>0</v>
      </c>
      <c r="J11" s="5">
        <f>$F$11-I11</f>
        <v>2750</v>
      </c>
    </row>
    <row r="12" spans="1:16" x14ac:dyDescent="0.3">
      <c r="D12" s="1"/>
      <c r="H12" t="s">
        <v>10</v>
      </c>
      <c r="I12" s="1">
        <f>SUMIF(Table1[¿Quién pagó?],"Luis Enrique",Table1[Cantidad])</f>
        <v>0</v>
      </c>
      <c r="J12" s="5">
        <f>$F$11-I12</f>
        <v>2750</v>
      </c>
    </row>
    <row r="13" spans="1:16" x14ac:dyDescent="0.3">
      <c r="D13" s="1"/>
    </row>
    <row r="14" spans="1:16" x14ac:dyDescent="0.3">
      <c r="D14" s="1"/>
      <c r="I14" s="3"/>
      <c r="J14" s="9" t="s">
        <v>17</v>
      </c>
    </row>
    <row r="15" spans="1:16" x14ac:dyDescent="0.3">
      <c r="D15" s="1"/>
      <c r="J15" s="6" t="s">
        <v>19</v>
      </c>
    </row>
    <row r="16" spans="1:16" x14ac:dyDescent="0.3">
      <c r="D16" s="1"/>
      <c r="I16" s="8"/>
      <c r="J16" s="7" t="s">
        <v>18</v>
      </c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</sheetData>
  <mergeCells count="2">
    <mergeCell ref="A6:C6"/>
    <mergeCell ref="H7:J7"/>
  </mergeCells>
  <conditionalFormatting sqref="J9:J12">
    <cfRule type="cellIs" dxfId="1" priority="1" operator="lessThanOrEqual">
      <formula>0</formula>
    </cfRule>
    <cfRule type="cellIs" dxfId="0" priority="2" operator="greaterThan">
      <formula>0</formula>
    </cfRule>
  </conditionalFormatting>
  <dataValidations disablePrompts="1" count="1">
    <dataValidation type="list" allowBlank="1" showInputMessage="1" showErrorMessage="1" sqref="C8:C20" xr:uid="{FBF12EAB-0AF0-4334-BEFC-D5858B77D0FE}">
      <formula1>$H$9:$H$12</formula1>
    </dataValidation>
  </dataValidation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Enrique Ramirez Sabino</dc:creator>
  <cp:lastModifiedBy>Luis Enrique Ramirez Sabino</cp:lastModifiedBy>
  <dcterms:created xsi:type="dcterms:W3CDTF">2025-09-17T15:41:31Z</dcterms:created>
  <dcterms:modified xsi:type="dcterms:W3CDTF">2025-09-17T16:51:58Z</dcterms:modified>
</cp:coreProperties>
</file>